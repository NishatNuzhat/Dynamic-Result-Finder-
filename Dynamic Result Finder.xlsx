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Result" sheetId="1" r:id="rId5"/>
  </sheets>
  <definedNames/>
  <calcPr/>
</workbook>
</file>

<file path=xl/sharedStrings.xml><?xml version="1.0" encoding="utf-8"?>
<sst xmlns="http://schemas.openxmlformats.org/spreadsheetml/2006/main" count="45" uniqueCount="39">
  <si>
    <t>Roll</t>
  </si>
  <si>
    <t>Name</t>
  </si>
  <si>
    <t>Bangla</t>
  </si>
  <si>
    <t>English</t>
  </si>
  <si>
    <t>Math</t>
  </si>
  <si>
    <t>Result Sheet</t>
  </si>
  <si>
    <t>Student Info</t>
  </si>
  <si>
    <t>Roni</t>
  </si>
  <si>
    <t>Grade In</t>
  </si>
  <si>
    <t>Time</t>
  </si>
  <si>
    <t>Rafi</t>
  </si>
  <si>
    <t>Obtained Marks</t>
  </si>
  <si>
    <t>Grade</t>
  </si>
  <si>
    <t>Sakib</t>
  </si>
  <si>
    <t>Hridoy</t>
  </si>
  <si>
    <t>Rafidul</t>
  </si>
  <si>
    <t>Hasan</t>
  </si>
  <si>
    <t>Akash</t>
  </si>
  <si>
    <t>Grade System</t>
  </si>
  <si>
    <t>Rimi</t>
  </si>
  <si>
    <t>Marks Range</t>
  </si>
  <si>
    <t>Minimum</t>
  </si>
  <si>
    <t>Nusrat</t>
  </si>
  <si>
    <t>0-50</t>
  </si>
  <si>
    <t>F</t>
  </si>
  <si>
    <t>Payel</t>
  </si>
  <si>
    <t>51-60</t>
  </si>
  <si>
    <t>D</t>
  </si>
  <si>
    <t>Keya</t>
  </si>
  <si>
    <t>61-70</t>
  </si>
  <si>
    <t>C</t>
  </si>
  <si>
    <t>Momin</t>
  </si>
  <si>
    <t>71-80</t>
  </si>
  <si>
    <t>B</t>
  </si>
  <si>
    <t>Priya</t>
  </si>
  <si>
    <t>81-100</t>
  </si>
  <si>
    <t>A</t>
  </si>
  <si>
    <t>Bristi</t>
  </si>
  <si>
    <t>Rakib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</si>
</sst>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26.0"/>
      <color theme="1"/>
      <name val="Calibri"/>
    </font>
    <font>
      <b/>
      <sz val="11.0"/>
      <color theme="1"/>
      <name val="Calibri"/>
    </font>
    <font>
      <sz val="15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FF0000"/>
      </left>
    </border>
    <border>
      <right style="double">
        <color rgb="FFFF0000"/>
      </right>
    </border>
    <border>
      <left style="thin">
        <color rgb="FF000000"/>
      </left>
    </border>
    <border>
      <right style="thin">
        <color rgb="FF000000"/>
      </right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right style="double">
        <color rgb="FFFF0000"/>
      </right>
      <bottom style="double">
        <color rgb="FFFF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0" fillId="4" fontId="5" numFmtId="0" xfId="0" applyAlignment="1" applyFill="1" applyFont="1">
      <alignment horizontal="center" readingOrder="0" vertical="bottom"/>
    </xf>
    <xf borderId="4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7" fillId="5" fontId="6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7" fillId="6" fontId="6" numFmtId="0" xfId="0" applyAlignment="1" applyBorder="1" applyFill="1" applyFont="1">
      <alignment horizontal="center" vertical="bottom"/>
    </xf>
    <xf borderId="8" fillId="6" fontId="6" numFmtId="0" xfId="0" applyAlignment="1" applyBorder="1" applyFont="1">
      <alignment horizontal="center" vertical="bottom"/>
    </xf>
    <xf borderId="9" fillId="7" fontId="6" numFmtId="0" xfId="0" applyAlignment="1" applyBorder="1" applyFill="1" applyFont="1">
      <alignment vertical="bottom"/>
    </xf>
    <xf borderId="10" fillId="7" fontId="6" numFmtId="0" xfId="0" applyAlignment="1" applyBorder="1" applyFont="1">
      <alignment vertical="bottom"/>
    </xf>
    <xf borderId="1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13" fillId="0" fontId="6" numFmtId="0" xfId="0" applyAlignment="1" applyBorder="1" applyFont="1">
      <alignment horizontal="right" vertical="bottom"/>
    </xf>
    <xf borderId="14" fillId="0" fontId="6" numFmtId="0" xfId="0" applyAlignment="1" applyBorder="1" applyFont="1">
      <alignment vertical="bottom"/>
    </xf>
    <xf borderId="11" fillId="8" fontId="6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12" fillId="9" fontId="6" numFmtId="14" xfId="0" applyAlignment="1" applyBorder="1" applyFont="1" applyNumberFormat="1">
      <alignment horizontal="center" vertical="bottom"/>
    </xf>
    <xf borderId="15" fillId="10" fontId="1" numFmtId="0" xfId="0" applyAlignment="1" applyBorder="1" applyFill="1" applyFont="1">
      <alignment horizontal="center" readingOrder="0" vertical="bottom"/>
    </xf>
    <xf borderId="16" fillId="0" fontId="3" numFmtId="0" xfId="0" applyAlignment="1" applyBorder="1" applyFont="1">
      <alignment horizontal="center" vertical="bottom"/>
    </xf>
    <xf borderId="16" fillId="11" fontId="6" numFmtId="0" xfId="0" applyAlignment="1" applyBorder="1" applyFill="1" applyFont="1">
      <alignment horizontal="center" vertical="bottom"/>
    </xf>
    <xf borderId="16" fillId="0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right" vertical="bottom"/>
    </xf>
    <xf borderId="0" fillId="2" fontId="6" numFmtId="0" xfId="0" applyAlignment="1" applyFont="1">
      <alignment horizontal="right" vertical="bottom"/>
    </xf>
    <xf borderId="5" fillId="2" fontId="6" numFmtId="0" xfId="0" applyAlignment="1" applyBorder="1" applyFont="1">
      <alignment horizontal="right" vertical="bottom"/>
    </xf>
    <xf borderId="14" fillId="0" fontId="6" numFmtId="0" xfId="0" applyAlignment="1" applyBorder="1" applyFont="1">
      <alignment readingOrder="0" vertical="bottom"/>
    </xf>
    <xf borderId="0" fillId="3" fontId="6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1" fillId="12" fontId="6" numFmtId="0" xfId="0" applyAlignment="1" applyBorder="1" applyFill="1" applyFont="1">
      <alignment vertical="bottom"/>
    </xf>
    <xf borderId="2" fillId="12" fontId="6" numFmtId="0" xfId="0" applyAlignment="1" applyBorder="1" applyFont="1">
      <alignment readingOrder="0" vertical="bottom"/>
    </xf>
    <xf borderId="3" fillId="12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5" fillId="0" fontId="1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right" vertical="bottom"/>
    </xf>
    <xf borderId="19" fillId="0" fontId="6" numFmtId="0" xfId="0" applyAlignment="1" applyBorder="1" applyFont="1">
      <alignment horizontal="right" vertical="bottom"/>
    </xf>
    <xf borderId="20" fillId="0" fontId="6" numFmtId="0" xfId="0" applyAlignment="1" applyBorder="1" applyFont="1">
      <alignment horizontal="right" vertical="bottom"/>
    </xf>
    <xf borderId="18" fillId="0" fontId="6" numFmtId="0" xfId="0" applyAlignment="1" applyBorder="1" applyFont="1">
      <alignment vertical="bottom"/>
    </xf>
    <xf borderId="19" fillId="0" fontId="6" numFmtId="0" xfId="0" applyAlignment="1" applyBorder="1" applyFont="1">
      <alignment horizontal="center" readingOrder="0" vertical="bottom"/>
    </xf>
    <xf borderId="20" fillId="0" fontId="1" numFmtId="0" xfId="0" applyAlignment="1" applyBorder="1" applyFont="1">
      <alignment horizontal="center" readingOrder="0" vertical="bottom"/>
    </xf>
    <xf borderId="21" fillId="0" fontId="6" numFmtId="0" xfId="0" applyAlignment="1" applyBorder="1" applyFont="1">
      <alignment horizontal="right" vertical="bottom"/>
    </xf>
    <xf borderId="22" fillId="0" fontId="6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1"/>
      <c r="H1" s="3"/>
      <c r="I1" s="4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2"/>
      <c r="D2" s="2"/>
      <c r="E2" s="2"/>
      <c r="F2" s="2"/>
      <c r="G2" s="1"/>
      <c r="H2" s="3"/>
      <c r="I2" s="4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5"/>
      <c r="F3" s="2"/>
      <c r="G3" s="1"/>
      <c r="H3" s="6" t="s">
        <v>0</v>
      </c>
      <c r="I3" s="7" t="s">
        <v>1</v>
      </c>
      <c r="J3" s="8" t="s">
        <v>2</v>
      </c>
      <c r="K3" s="8" t="s">
        <v>3</v>
      </c>
      <c r="L3" s="9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 t="s">
        <v>5</v>
      </c>
      <c r="G4" s="1"/>
      <c r="H4" s="11">
        <v>1.0</v>
      </c>
      <c r="I4" s="12" t="str">
        <f t="shared" ref="I4:I18" si="1">VLOOKUP(H4,$N$6:$O$20,2,1)</f>
        <v>Roni</v>
      </c>
      <c r="J4" s="12">
        <v>67.0</v>
      </c>
      <c r="K4" s="12">
        <v>72.0</v>
      </c>
      <c r="L4" s="13">
        <v>85.0</v>
      </c>
      <c r="M4" s="1"/>
      <c r="N4" s="14" t="s">
        <v>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5" t="s">
        <v>0</v>
      </c>
      <c r="C5" s="16">
        <v>7.0</v>
      </c>
      <c r="D5" s="17"/>
      <c r="E5" s="18" t="s">
        <v>1</v>
      </c>
      <c r="F5" s="19" t="str">
        <f>VLOOKUP(C5,$H$4:$I$18,2,1)</f>
        <v>Akash</v>
      </c>
      <c r="G5" s="1"/>
      <c r="H5" s="11">
        <v>2.0</v>
      </c>
      <c r="I5" s="12" t="str">
        <f t="shared" si="1"/>
        <v>Rafi</v>
      </c>
      <c r="J5" s="12">
        <v>57.0</v>
      </c>
      <c r="K5" s="12">
        <v>88.0</v>
      </c>
      <c r="L5" s="13">
        <v>69.0</v>
      </c>
      <c r="M5" s="1"/>
      <c r="N5" s="20" t="s">
        <v>0</v>
      </c>
      <c r="O5" s="21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22"/>
      <c r="C6" s="23"/>
      <c r="D6" s="23"/>
      <c r="E6" s="23"/>
      <c r="F6" s="24"/>
      <c r="G6" s="1"/>
      <c r="H6" s="11">
        <v>3.0</v>
      </c>
      <c r="I6" s="12" t="str">
        <f t="shared" si="1"/>
        <v>Sakib</v>
      </c>
      <c r="J6" s="12">
        <v>90.0</v>
      </c>
      <c r="K6" s="12">
        <v>77.0</v>
      </c>
      <c r="L6" s="13">
        <v>81.0</v>
      </c>
      <c r="M6" s="1"/>
      <c r="N6" s="25">
        <v>1.0</v>
      </c>
      <c r="O6" s="26" t="s">
        <v>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27" t="s">
        <v>8</v>
      </c>
      <c r="C7" s="28" t="s">
        <v>4</v>
      </c>
      <c r="D7" s="29"/>
      <c r="E7" s="30" t="s">
        <v>9</v>
      </c>
      <c r="F7" s="31">
        <f>NOW()</f>
        <v>46091.01362</v>
      </c>
      <c r="G7" s="1"/>
      <c r="H7" s="11">
        <v>4.0</v>
      </c>
      <c r="I7" s="12" t="str">
        <f t="shared" si="1"/>
        <v>Hridoy</v>
      </c>
      <c r="J7" s="12">
        <v>73.0</v>
      </c>
      <c r="K7" s="12">
        <v>92.0</v>
      </c>
      <c r="L7" s="13">
        <v>74.0</v>
      </c>
      <c r="M7" s="1"/>
      <c r="N7" s="25">
        <f t="shared" ref="N7:N20" si="2">N6+1</f>
        <v>2</v>
      </c>
      <c r="O7" s="26" t="s">
        <v>10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2" t="s">
        <v>11</v>
      </c>
      <c r="C8" s="33">
        <f>VLOOKUP(C5,$H$3:$L$18,MATCH(C7,$H$3:$L$3),0)</f>
        <v>93</v>
      </c>
      <c r="D8" s="34" t="s">
        <v>12</v>
      </c>
      <c r="E8" s="35" t="str">
        <f>VLOOKUP(C8,B15:C19,2,1)</f>
        <v>A</v>
      </c>
      <c r="F8" s="36"/>
      <c r="G8" s="1"/>
      <c r="H8" s="11">
        <v>5.0</v>
      </c>
      <c r="I8" s="12" t="str">
        <f t="shared" si="1"/>
        <v>Rafidul</v>
      </c>
      <c r="J8" s="12">
        <v>85.0</v>
      </c>
      <c r="K8" s="12">
        <v>61.0</v>
      </c>
      <c r="L8" s="13">
        <v>90.0</v>
      </c>
      <c r="M8" s="1"/>
      <c r="N8" s="25">
        <f t="shared" si="2"/>
        <v>3</v>
      </c>
      <c r="O8" s="26" t="s">
        <v>13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1">
        <v>6.0</v>
      </c>
      <c r="I9" s="12" t="str">
        <f t="shared" si="1"/>
        <v>Hasan</v>
      </c>
      <c r="J9" s="12">
        <v>88.0</v>
      </c>
      <c r="K9" s="12">
        <v>83.0</v>
      </c>
      <c r="L9" s="13">
        <v>72.0</v>
      </c>
      <c r="M9" s="1"/>
      <c r="N9" s="25">
        <f t="shared" si="2"/>
        <v>4</v>
      </c>
      <c r="O9" s="26" t="s">
        <v>14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37">
        <v>7.0</v>
      </c>
      <c r="I10" s="12" t="str">
        <f t="shared" si="1"/>
        <v>Akash</v>
      </c>
      <c r="J10" s="38">
        <v>79.0</v>
      </c>
      <c r="K10" s="38">
        <v>30.0</v>
      </c>
      <c r="L10" s="39">
        <v>93.0</v>
      </c>
      <c r="M10" s="1"/>
      <c r="N10" s="25">
        <f t="shared" si="2"/>
        <v>5</v>
      </c>
      <c r="O10" s="40" t="s"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1">
        <v>8.0</v>
      </c>
      <c r="I11" s="12" t="str">
        <f t="shared" si="1"/>
        <v>Rimi</v>
      </c>
      <c r="J11" s="12">
        <v>91.0</v>
      </c>
      <c r="K11" s="12">
        <v>85.0</v>
      </c>
      <c r="L11" s="13">
        <v>88.0</v>
      </c>
      <c r="M11" s="1"/>
      <c r="N11" s="25">
        <f t="shared" si="2"/>
        <v>6</v>
      </c>
      <c r="O11" s="26" t="s">
        <v>16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1">
        <v>9.0</v>
      </c>
      <c r="I12" s="12" t="str">
        <f t="shared" si="1"/>
        <v>Nusrat</v>
      </c>
      <c r="J12" s="12">
        <v>84.0</v>
      </c>
      <c r="K12" s="12">
        <v>89.0</v>
      </c>
      <c r="L12" s="13">
        <v>79.0</v>
      </c>
      <c r="M12" s="1"/>
      <c r="N12" s="25">
        <f t="shared" si="2"/>
        <v>7</v>
      </c>
      <c r="O12" s="26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1" t="s">
        <v>18</v>
      </c>
      <c r="D13" s="42"/>
      <c r="E13" s="1"/>
      <c r="F13" s="1"/>
      <c r="G13" s="1"/>
      <c r="H13" s="11">
        <v>10.0</v>
      </c>
      <c r="I13" s="12" t="str">
        <f t="shared" si="1"/>
        <v>Payel</v>
      </c>
      <c r="J13" s="12">
        <v>76.0</v>
      </c>
      <c r="K13" s="12">
        <v>95.0</v>
      </c>
      <c r="L13" s="13">
        <v>86.0</v>
      </c>
      <c r="M13" s="1"/>
      <c r="N13" s="25">
        <f t="shared" si="2"/>
        <v>8</v>
      </c>
      <c r="O13" s="26" t="s">
        <v>19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3" t="s">
        <v>20</v>
      </c>
      <c r="B14" s="44" t="s">
        <v>21</v>
      </c>
      <c r="C14" s="45" t="s">
        <v>12</v>
      </c>
      <c r="D14" s="42"/>
      <c r="E14" s="1"/>
      <c r="F14" s="1"/>
      <c r="G14" s="1"/>
      <c r="H14" s="11">
        <v>11.0</v>
      </c>
      <c r="I14" s="12" t="str">
        <f t="shared" si="1"/>
        <v>Keya</v>
      </c>
      <c r="J14" s="12">
        <v>45.0</v>
      </c>
      <c r="K14" s="12">
        <v>80.0</v>
      </c>
      <c r="L14" s="13">
        <v>91.0</v>
      </c>
      <c r="M14" s="1"/>
      <c r="N14" s="25">
        <f t="shared" si="2"/>
        <v>9</v>
      </c>
      <c r="O14" s="26" t="s">
        <v>22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6" t="s">
        <v>23</v>
      </c>
      <c r="B15" s="28">
        <v>0.0</v>
      </c>
      <c r="C15" s="47" t="s">
        <v>24</v>
      </c>
      <c r="D15" s="42"/>
      <c r="E15" s="1"/>
      <c r="F15" s="1"/>
      <c r="G15" s="1"/>
      <c r="H15" s="11">
        <v>12.0</v>
      </c>
      <c r="I15" s="12" t="str">
        <f t="shared" si="1"/>
        <v>Momin</v>
      </c>
      <c r="J15" s="12">
        <v>78.0</v>
      </c>
      <c r="K15" s="12">
        <v>74.0</v>
      </c>
      <c r="L15" s="13">
        <v>82.0</v>
      </c>
      <c r="M15" s="1"/>
      <c r="N15" s="25">
        <f t="shared" si="2"/>
        <v>10</v>
      </c>
      <c r="O15" s="26" t="s">
        <v>25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6" t="s">
        <v>26</v>
      </c>
      <c r="B16" s="28">
        <v>51.0</v>
      </c>
      <c r="C16" s="47" t="s">
        <v>27</v>
      </c>
      <c r="D16" s="42"/>
      <c r="E16" s="1"/>
      <c r="F16" s="1"/>
      <c r="G16" s="1"/>
      <c r="H16" s="11">
        <v>13.0</v>
      </c>
      <c r="I16" s="12" t="str">
        <f t="shared" si="1"/>
        <v>Priya</v>
      </c>
      <c r="J16" s="12">
        <v>64.0</v>
      </c>
      <c r="K16" s="12">
        <v>87.0</v>
      </c>
      <c r="L16" s="13">
        <v>70.0</v>
      </c>
      <c r="M16" s="1"/>
      <c r="N16" s="25">
        <f t="shared" si="2"/>
        <v>11</v>
      </c>
      <c r="O16" s="26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6" t="s">
        <v>29</v>
      </c>
      <c r="B17" s="28">
        <v>61.0</v>
      </c>
      <c r="C17" s="47" t="s">
        <v>30</v>
      </c>
      <c r="D17" s="42"/>
      <c r="E17" s="1"/>
      <c r="F17" s="1"/>
      <c r="G17" s="1"/>
      <c r="H17" s="11">
        <v>14.0</v>
      </c>
      <c r="I17" s="12" t="str">
        <f t="shared" si="1"/>
        <v>Bristi</v>
      </c>
      <c r="J17" s="12">
        <v>81.0</v>
      </c>
      <c r="K17" s="12">
        <v>68.0</v>
      </c>
      <c r="L17" s="13">
        <v>84.0</v>
      </c>
      <c r="M17" s="1"/>
      <c r="N17" s="25">
        <f t="shared" si="2"/>
        <v>12</v>
      </c>
      <c r="O17" s="26" t="s">
        <v>31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6" t="s">
        <v>32</v>
      </c>
      <c r="B18" s="28">
        <v>71.0</v>
      </c>
      <c r="C18" s="47" t="s">
        <v>33</v>
      </c>
      <c r="D18" s="1"/>
      <c r="E18" s="1"/>
      <c r="F18" s="1"/>
      <c r="G18" s="1"/>
      <c r="H18" s="48">
        <v>15.0</v>
      </c>
      <c r="I18" s="49" t="str">
        <f t="shared" si="1"/>
        <v>Rakib</v>
      </c>
      <c r="J18" s="49">
        <v>69.0</v>
      </c>
      <c r="K18" s="49">
        <v>90.0</v>
      </c>
      <c r="L18" s="50">
        <v>77.0</v>
      </c>
      <c r="M18" s="1"/>
      <c r="N18" s="25">
        <f t="shared" si="2"/>
        <v>13</v>
      </c>
      <c r="O18" s="26" t="s">
        <v>34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51" t="s">
        <v>35</v>
      </c>
      <c r="B19" s="52">
        <v>81.0</v>
      </c>
      <c r="C19" s="53" t="s">
        <v>36</v>
      </c>
      <c r="D19" s="1"/>
      <c r="E19" s="1"/>
      <c r="F19" s="1"/>
      <c r="G19" s="1"/>
      <c r="H19" s="42"/>
      <c r="I19" s="42"/>
      <c r="J19" s="42"/>
      <c r="L19" s="42"/>
      <c r="M19" s="1"/>
      <c r="N19" s="25">
        <f t="shared" si="2"/>
        <v>14</v>
      </c>
      <c r="O19" s="26" t="s">
        <v>37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M20" s="42"/>
      <c r="N20" s="54">
        <f t="shared" si="2"/>
        <v>15</v>
      </c>
      <c r="O20" s="55" t="s">
        <v>38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4">
    <mergeCell ref="C3:E3"/>
    <mergeCell ref="N4:O4"/>
    <mergeCell ref="A13:C13"/>
    <mergeCell ref="B4:F4"/>
  </mergeCells>
  <conditionalFormatting sqref="E8">
    <cfRule type="cellIs" dxfId="0" priority="1" operator="equal">
      <formula>"F"</formula>
    </cfRule>
  </conditionalFormatting>
  <conditionalFormatting sqref="H1:L18">
    <cfRule type="expression" dxfId="1" priority="2">
      <formula>$H1=$C$5</formula>
    </cfRule>
  </conditionalFormatting>
  <dataValidations>
    <dataValidation type="list" allowBlank="1" showErrorMessage="1" sqref="C7">
      <formula1>'Student Result'!$J$3:$L$3</formula1>
    </dataValidation>
  </dataValidations>
  <drawing r:id="rId1"/>
</worksheet>
</file>